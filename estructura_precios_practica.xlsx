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evil\Desktop\Otros documentos\Proyectos\"/>
    </mc:Choice>
  </mc:AlternateContent>
  <xr:revisionPtr revIDLastSave="0" documentId="13_ncr:1_{DDE1EE61-11B4-4D79-8687-853AA2F8E802}" xr6:coauthVersionLast="47" xr6:coauthVersionMax="47" xr10:uidLastSave="{00000000-0000-0000-0000-000000000000}"/>
  <bookViews>
    <workbookView xWindow="-108" yWindow="-108" windowWidth="23256" windowHeight="13896" activeTab="3" xr2:uid="{00000000-000D-0000-FFFF-FFFF00000000}"/>
  </bookViews>
  <sheets>
    <sheet name="Instrucciones" sheetId="1" r:id="rId1"/>
    <sheet name="Hoja1" sheetId="4" r:id="rId2"/>
    <sheet name="Resumen_Categoría" sheetId="5" r:id="rId3"/>
    <sheet name="Productos" sheetId="2" r:id="rId4"/>
    <sheet name="Resumen" sheetId="3"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3" i="2" l="1"/>
  <c r="S3" i="2" s="1"/>
  <c r="R4" i="2"/>
  <c r="S4" i="2" s="1"/>
  <c r="R5" i="2"/>
  <c r="S5" i="2" s="1"/>
  <c r="R6" i="2"/>
  <c r="S6" i="2" s="1"/>
  <c r="R7" i="2"/>
  <c r="S7" i="2" s="1"/>
  <c r="R8" i="2"/>
  <c r="S8" i="2" s="1"/>
  <c r="R9" i="2"/>
  <c r="S9" i="2" s="1"/>
  <c r="R10" i="2"/>
  <c r="S10" i="2" s="1"/>
  <c r="R11" i="2"/>
  <c r="S11" i="2" s="1"/>
  <c r="R12" i="2"/>
  <c r="S12" i="2" s="1"/>
  <c r="R13" i="2"/>
  <c r="S13" i="2" s="1"/>
  <c r="R14" i="2"/>
  <c r="S14" i="2" s="1"/>
  <c r="R15" i="2"/>
  <c r="S15" i="2" s="1"/>
  <c r="R16" i="2"/>
  <c r="S16" i="2" s="1"/>
  <c r="R2" i="2"/>
  <c r="S2" i="2" s="1"/>
  <c r="Q3" i="2"/>
  <c r="Q10" i="2"/>
  <c r="Q11" i="2"/>
  <c r="Q12" i="2"/>
  <c r="Q13" i="2"/>
  <c r="Q14" i="2"/>
  <c r="P3" i="2"/>
  <c r="P4" i="2"/>
  <c r="Q4" i="2" s="1"/>
  <c r="P5" i="2"/>
  <c r="Q5" i="2" s="1"/>
  <c r="P6" i="2"/>
  <c r="Q6" i="2" s="1"/>
  <c r="P7" i="2"/>
  <c r="Q7" i="2" s="1"/>
  <c r="P8" i="2"/>
  <c r="Q8" i="2" s="1"/>
  <c r="P9" i="2"/>
  <c r="Q9" i="2" s="1"/>
  <c r="P10" i="2"/>
  <c r="P11" i="2"/>
  <c r="P12" i="2"/>
  <c r="P13" i="2"/>
  <c r="P14" i="2"/>
  <c r="P15" i="2"/>
  <c r="Q15" i="2" s="1"/>
  <c r="P16" i="2"/>
  <c r="Q16" i="2" s="1"/>
  <c r="P2" i="2"/>
  <c r="Q2" i="2" s="1"/>
  <c r="N14" i="2"/>
  <c r="H3" i="2"/>
  <c r="N3" i="2" s="1"/>
  <c r="E3" i="5" s="1"/>
  <c r="H4" i="2"/>
  <c r="N4" i="2" s="1"/>
  <c r="H5" i="2"/>
  <c r="N5" i="2" s="1"/>
  <c r="H6" i="2"/>
  <c r="N6" i="2" s="1"/>
  <c r="H7" i="2"/>
  <c r="N7" i="2" s="1"/>
  <c r="H8" i="2"/>
  <c r="N8" i="2" s="1"/>
  <c r="H9" i="2"/>
  <c r="N9" i="2" s="1"/>
  <c r="H10" i="2"/>
  <c r="N10" i="2" s="1"/>
  <c r="H11" i="2"/>
  <c r="N11" i="2" s="1"/>
  <c r="H12" i="2"/>
  <c r="N12" i="2" s="1"/>
  <c r="H13" i="2"/>
  <c r="N13" i="2" s="1"/>
  <c r="H14" i="2"/>
  <c r="H15" i="2"/>
  <c r="N15" i="2" s="1"/>
  <c r="H16" i="2"/>
  <c r="N16" i="2" s="1"/>
  <c r="H2" i="2"/>
  <c r="N2" i="2" s="1"/>
  <c r="K3" i="2"/>
  <c r="K4" i="2"/>
  <c r="K5" i="2"/>
  <c r="K6" i="2"/>
  <c r="K7" i="2"/>
  <c r="K8" i="2"/>
  <c r="K9" i="2"/>
  <c r="K10" i="2"/>
  <c r="K11" i="2"/>
  <c r="K12" i="2"/>
  <c r="K13" i="2"/>
  <c r="K14" i="2"/>
  <c r="K15" i="2"/>
  <c r="K16" i="2"/>
  <c r="K2" i="2"/>
  <c r="J3" i="2"/>
  <c r="J4" i="2"/>
  <c r="J5" i="2"/>
  <c r="J6" i="2"/>
  <c r="J7" i="2"/>
  <c r="J8" i="2"/>
  <c r="J9" i="2"/>
  <c r="J10" i="2"/>
  <c r="J11" i="2"/>
  <c r="J12" i="2"/>
  <c r="J13" i="2"/>
  <c r="J14" i="2"/>
  <c r="J15" i="2"/>
  <c r="J16" i="2"/>
  <c r="J2" i="2"/>
  <c r="L2" i="2" s="1"/>
  <c r="M2" i="2" s="1"/>
  <c r="I3" i="2"/>
  <c r="I4" i="2"/>
  <c r="I5" i="2"/>
  <c r="I6" i="2"/>
  <c r="I7" i="2"/>
  <c r="I8" i="2"/>
  <c r="I9" i="2"/>
  <c r="I10" i="2"/>
  <c r="I11" i="2"/>
  <c r="I12" i="2"/>
  <c r="I13" i="2"/>
  <c r="I14" i="2"/>
  <c r="I15" i="2"/>
  <c r="I16" i="2"/>
  <c r="I2" i="2"/>
  <c r="G3" i="2"/>
  <c r="G4" i="2"/>
  <c r="G5" i="2"/>
  <c r="G6" i="2"/>
  <c r="G7" i="2"/>
  <c r="G8" i="2"/>
  <c r="G9" i="2"/>
  <c r="G10" i="2"/>
  <c r="G11" i="2"/>
  <c r="G12" i="2"/>
  <c r="G13" i="2"/>
  <c r="G14" i="2"/>
  <c r="G15" i="2"/>
  <c r="G16" i="2"/>
  <c r="G2" i="2"/>
  <c r="E4" i="5" l="1"/>
  <c r="E2" i="5"/>
  <c r="L16" i="2"/>
  <c r="M16" i="2" s="1"/>
  <c r="L4" i="2"/>
  <c r="M4" i="2" s="1"/>
  <c r="L3" i="2"/>
  <c r="M3" i="2" s="1"/>
  <c r="B2" i="5" s="1"/>
  <c r="L5" i="2"/>
  <c r="M5" i="2" s="1"/>
  <c r="L15" i="2"/>
  <c r="M15" i="2" s="1"/>
  <c r="B9" i="5" s="1"/>
  <c r="L14" i="2"/>
  <c r="M14" i="2" s="1"/>
  <c r="B8" i="5" s="1"/>
  <c r="L11" i="2"/>
  <c r="M11" i="2" s="1"/>
  <c r="L6" i="2"/>
  <c r="M6" i="2" s="1"/>
  <c r="L10" i="2"/>
  <c r="M10" i="2" s="1"/>
  <c r="B5" i="5" s="1"/>
  <c r="L8" i="2"/>
  <c r="M8" i="2" s="1"/>
  <c r="L7" i="2"/>
  <c r="M7" i="2" s="1"/>
  <c r="B4" i="5" s="1"/>
  <c r="L9" i="2"/>
  <c r="M9" i="2" s="1"/>
  <c r="L13" i="2"/>
  <c r="M13" i="2" s="1"/>
  <c r="B7" i="5" s="1"/>
  <c r="L12" i="2"/>
  <c r="M12" i="2" s="1"/>
  <c r="B6" i="5" s="1"/>
  <c r="B4" i="3"/>
  <c r="B5" i="3" l="1"/>
  <c r="B3" i="5"/>
  <c r="B6" i="3"/>
  <c r="B7" i="3"/>
</calcChain>
</file>

<file path=xl/sharedStrings.xml><?xml version="1.0" encoding="utf-8"?>
<sst xmlns="http://schemas.openxmlformats.org/spreadsheetml/2006/main" count="108" uniqueCount="83">
  <si>
    <t>Proyecto de práctica: Estructura de precios y rentabilidad</t>
  </si>
  <si>
    <t>Este archivo es para que practiques el análisis de precios de una tienda de conveniencia</t>
  </si>
  <si>
    <t>dentro de una gasolinera, tal como lo haría un Analista de Precios.</t>
  </si>
  <si>
    <t>Ve a la hoja 'Datos'. Ahí encontrarás 15 productos con: Producto, Categoría, Costo unitario,</t>
  </si>
  <si>
    <t>Precio de venta, Unidades vendidas al mes y Costo fijo asignado al mes.</t>
  </si>
  <si>
    <t>Las columnas resaltadas en AMARILLO están vacías. Tu trabajo es escribir la fórmula</t>
  </si>
  <si>
    <t>correspondiente en la PRIMERA fila de cada columna vacía, y luego copiarla hacia abajo</t>
  </si>
  <si>
    <t>para las 15 filas (seleccioná la celda, doble clic en la esquina inferior derecha, o</t>
  </si>
  <si>
    <t>copiar y pegar en el resto de filas).</t>
  </si>
  <si>
    <t>Guía de qué calcular en cada columna (sin darte la fórmula exacta, para que la construyas tú):</t>
  </si>
  <si>
    <t xml:space="preserve">  G - Utilidad unitaria: cuánto ganás en Lempiras por cada unidad vendida.</t>
  </si>
  <si>
    <t xml:space="preserve">  H - Margen (%): la utilidad unitaria como porcentaje del PRECIO DE VENTA.</t>
  </si>
  <si>
    <t xml:space="preserve">  I - Markup (%): la utilidad unitaria como porcentaje del COSTO.</t>
  </si>
  <si>
    <t xml:space="preserve">  J - Ingreso total: cuánto entra en total por ese producto en el mes (precio x volumen).</t>
  </si>
  <si>
    <t xml:space="preserve">  K - Costo variable total: cuánto cuesta en total producir/comprar ese volumen.</t>
  </si>
  <si>
    <t xml:space="preserve">  L - Utilidad bruta total: ingreso total menos costo variable total (antes de costos fijos).</t>
  </si>
  <si>
    <t xml:space="preserve">  M - Utilidad neta total: utilidad bruta total menos el costo fijo asignado a ese producto.</t>
  </si>
  <si>
    <t>Cuando termines las columnas, andá a la hoja 'Resumen' y respondé las preguntas de negocio</t>
  </si>
  <si>
    <t>usando funciones como MAX, MIN, INDICE+COINCIDIR o BUSCARX, y SUMAR.SI para categorías.</t>
  </si>
  <si>
    <t>Tip: si una fórmula te da #DIV/0!, revisá que no estés dividiendo entre una celda en cero.</t>
  </si>
  <si>
    <t>Producto</t>
  </si>
  <si>
    <t>Categoría</t>
  </si>
  <si>
    <t>Costo unitario (L.)</t>
  </si>
  <si>
    <t>Precio venta (L.)</t>
  </si>
  <si>
    <t>Unidades vendidas/mes</t>
  </si>
  <si>
    <t>Costo fijo asignado/mes (L.)</t>
  </si>
  <si>
    <t>Utilidad unitaria (L.)</t>
  </si>
  <si>
    <t>Margen (%)</t>
  </si>
  <si>
    <t>Markup (%)</t>
  </si>
  <si>
    <t>Ingreso total (L.)</t>
  </si>
  <si>
    <t>Costo variable total (L.)</t>
  </si>
  <si>
    <t>Utilidad bruta total (L.)</t>
  </si>
  <si>
    <t>Utilidad neta total (L.)</t>
  </si>
  <si>
    <t>Agua 600ml</t>
  </si>
  <si>
    <t>Bebidas</t>
  </si>
  <si>
    <t>Gaseosa 500ml</t>
  </si>
  <si>
    <t>Energizante</t>
  </si>
  <si>
    <t>Café pequeño</t>
  </si>
  <si>
    <t>Bebidas calientes</t>
  </si>
  <si>
    <t>Café grande</t>
  </si>
  <si>
    <t>Snack papas</t>
  </si>
  <si>
    <t>Snacks</t>
  </si>
  <si>
    <t>Chocolate barra</t>
  </si>
  <si>
    <t>Galletas paquete</t>
  </si>
  <si>
    <t>Sándwich empacado</t>
  </si>
  <si>
    <t>Comida rápida</t>
  </si>
  <si>
    <t>Hot dog</t>
  </si>
  <si>
    <t>Cigarros (paquete)</t>
  </si>
  <si>
    <t>Tabaco</t>
  </si>
  <si>
    <t>Hielo bolsa</t>
  </si>
  <si>
    <t>Otros</t>
  </si>
  <si>
    <t>Aceite motor 1L</t>
  </si>
  <si>
    <t>Automotriz</t>
  </si>
  <si>
    <t>Combustible Regular (galón)</t>
  </si>
  <si>
    <t>Combustible</t>
  </si>
  <si>
    <t>Combustible Premium (galón)</t>
  </si>
  <si>
    <t>Resumen — Preguntas de negocio</t>
  </si>
  <si>
    <t>Pregunta</t>
  </si>
  <si>
    <t>Tu respuesta / fórmula</t>
  </si>
  <si>
    <t>Producto con MAYOR margen (%)</t>
  </si>
  <si>
    <t>Producto con MAYOR utilidad neta total (L.)</t>
  </si>
  <si>
    <t>Producto con MENOR utilidad neta total (L.)</t>
  </si>
  <si>
    <t>Categoría con mayor utilidad neta total (L.)</t>
  </si>
  <si>
    <t>¿Coincide el producto de mayor margen con el de mayor utilidad? (Sí/No)</t>
  </si>
  <si>
    <t>Tip: usá MAX, MIN, INDICE+COINCIDIR o BUSCARX, y SUMAR.SI para las categorías.</t>
  </si>
  <si>
    <t>No</t>
  </si>
  <si>
    <t>Total general</t>
  </si>
  <si>
    <t>Etiquetas de fila</t>
  </si>
  <si>
    <t>Suma de Utilidad neta total (L.)</t>
  </si>
  <si>
    <t>Promedio de Margen (%)</t>
  </si>
  <si>
    <t>Punto de equilibrio en unidades = Costo fijo asignado/ (Precio - Costo Unitario)</t>
  </si>
  <si>
    <t>Donde precio . Costo unitario = se conoce como margen de contribución por unidad. Que es, cuanto aporta cada unidad vendida para cubrir los costos fijos, antes de empezar a generar ganancia real.</t>
  </si>
  <si>
    <t>Clasificación</t>
  </si>
  <si>
    <t>Alto</t>
  </si>
  <si>
    <t>Medio</t>
  </si>
  <si>
    <t>Bajo</t>
  </si>
  <si>
    <t>Control</t>
  </si>
  <si>
    <t>Precio simulado</t>
  </si>
  <si>
    <t>Margen simulado</t>
  </si>
  <si>
    <t>Un incremento en precios tiene mayor impacto en los mrgenes de ganancia cuando el margen de partida es bajo, si el margen es alto el efecto será menor, si todo lo demás permanece constante.</t>
  </si>
  <si>
    <t>Elasticidad asumida</t>
  </si>
  <si>
    <t>Utilidad neta por cat</t>
  </si>
  <si>
    <t>Unidades simuladas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</si>
</sst>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0_);_(* \(#,##0.0\);_(* &quot;-&quot;??_);_(@_)"/>
    <numFmt numFmtId="166" formatCode="_(* #,##0_);_(* \(#,##0\);_(* &quot;-&quot;??_);_(@_)"/>
  </numFmts>
  <fonts count="9" x14ac:knownFonts="1">
    <font>
      <sz val="11"/>
      <color theme="1"/>
      <name val="Calibri"/>
      <family val="2"/>
      <scheme val="minor"/>
    </font>
    <font>
      <b/>
      <sz val="16"/>
      <color rgb="FF1F2D3D"/>
      <name val="Arial"/>
    </font>
    <font>
      <sz val="11"/>
      <name val="Arial"/>
    </font>
    <font>
      <b/>
      <sz val="11"/>
      <color rgb="FFFFFFFF"/>
      <name val="Arial"/>
    </font>
    <font>
      <sz val="11"/>
      <color rgb="FF0000FF"/>
      <name val="Arial"/>
    </font>
    <font>
      <b/>
      <sz val="14"/>
      <color rgb="FF1F2D3D"/>
      <name val="Arial"/>
    </font>
    <font>
      <i/>
      <sz val="11"/>
      <color rgb="FF555555"/>
      <name val="Arial"/>
    </font>
    <font>
      <sz val="11"/>
      <color theme="1"/>
      <name val="Calibri"/>
      <family val="2"/>
      <scheme val="minor"/>
    </font>
    <font>
      <b/>
      <sz val="11"/>
      <color rgb="FFFFFFFF"/>
      <name val="Arial"/>
      <family val="2"/>
    </font>
  </fonts>
  <fills count="4">
    <fill>
      <patternFill patternType="none"/>
    </fill>
    <fill>
      <patternFill patternType="gray125"/>
    </fill>
    <fill>
      <patternFill patternType="solid">
        <fgColor rgb="FF1F2D3D"/>
      </patternFill>
    </fill>
    <fill>
      <patternFill patternType="solid">
        <f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style="thin">
        <color rgb="FFBFBFBF"/>
      </right>
      <top style="thin">
        <color rgb="FFBFBFBF"/>
      </top>
      <bottom style="thin">
        <color rgb="FFBFBFBF"/>
      </bottom>
      <diagonal/>
    </border>
  </borders>
  <cellStyleXfs count="3">
    <xf numFmtId="0" fontId="0" fillId="0" borderId="0"/>
    <xf numFmtId="9" fontId="7" fillId="0" borderId="0" applyFont="0" applyFill="0" applyBorder="0" applyAlignment="0" applyProtection="0"/>
    <xf numFmtId="43" fontId="7" fillId="0" borderId="0" applyFont="0" applyFill="0" applyBorder="0" applyAlignment="0" applyProtection="0"/>
  </cellStyleXfs>
  <cellXfs count="2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2" fillId="0" borderId="1" xfId="0" applyFont="1" applyBorder="1"/>
    <xf numFmtId="0" fontId="5" fillId="0" borderId="0" xfId="0" applyFont="1"/>
    <xf numFmtId="0" fontId="3" fillId="2" borderId="0" xfId="0" applyFont="1" applyFill="1"/>
    <xf numFmtId="0" fontId="6" fillId="0" borderId="0" xfId="0" applyFont="1"/>
    <xf numFmtId="3" fontId="4" fillId="0" borderId="1" xfId="0" applyNumberFormat="1" applyFont="1" applyBorder="1" applyAlignment="1">
      <alignment horizontal="center"/>
    </xf>
    <xf numFmtId="3" fontId="0" fillId="3" borderId="1" xfId="0" applyNumberFormat="1" applyFill="1" applyBorder="1" applyAlignment="1">
      <alignment horizontal="center"/>
    </xf>
    <xf numFmtId="164" fontId="0" fillId="3" borderId="1" xfId="1" applyNumberFormat="1" applyFont="1" applyFill="1" applyBorder="1" applyAlignment="1">
      <alignment horizontal="center"/>
    </xf>
    <xf numFmtId="166" fontId="0" fillId="3" borderId="1" xfId="2" applyNumberFormat="1" applyFont="1" applyFill="1" applyBorder="1" applyAlignment="1">
      <alignment horizontal="center"/>
    </xf>
    <xf numFmtId="0" fontId="0" fillId="3" borderId="1" xfId="0" applyFill="1" applyBorder="1" applyAlignment="1">
      <alignment horizontal="center" vertical="center"/>
    </xf>
    <xf numFmtId="0" fontId="2" fillId="0" borderId="0" xfId="0" applyFont="1" applyBorder="1"/>
    <xf numFmtId="166" fontId="0" fillId="0" borderId="0" xfId="2" applyNumberFormat="1" applyFont="1"/>
    <xf numFmtId="9" fontId="0" fillId="0" borderId="0" xfId="1" applyFont="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xf numFmtId="0" fontId="3" fillId="2" borderId="2" xfId="0" applyFont="1" applyFill="1" applyBorder="1" applyAlignment="1">
      <alignment horizontal="center" vertical="center" wrapText="1"/>
    </xf>
    <xf numFmtId="164" fontId="0" fillId="0" borderId="0" xfId="1" applyNumberFormat="1" applyFont="1" applyAlignment="1">
      <alignment horizontal="center"/>
    </xf>
    <xf numFmtId="0" fontId="8" fillId="2" borderId="2" xfId="0" applyFont="1" applyFill="1" applyBorder="1" applyAlignment="1">
      <alignment horizontal="center" vertical="center" wrapText="1"/>
    </xf>
    <xf numFmtId="9" fontId="0" fillId="0" borderId="0" xfId="0" applyNumberFormat="1"/>
    <xf numFmtId="164" fontId="0" fillId="0" borderId="0" xfId="1" applyNumberFormat="1" applyFont="1"/>
    <xf numFmtId="0" fontId="8" fillId="2" borderId="0"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0" borderId="3" xfId="0" applyFont="1" applyBorder="1"/>
  </cellXfs>
  <cellStyles count="3">
    <cellStyle name="Millares" xfId="2" builtinId="3"/>
    <cellStyle name="Normal" xfId="0" builtinId="0"/>
    <cellStyle name="Porcentaje" xfId="1" builtinId="5"/>
  </cellStyles>
  <dxfs count="23">
    <dxf>
      <font>
        <b/>
        <i val="0"/>
        <strike val="0"/>
        <condense val="0"/>
        <extend val="0"/>
        <outline val="0"/>
        <shadow val="0"/>
        <u val="none"/>
        <vertAlign val="baseline"/>
        <sz val="11"/>
        <color rgb="FFFFFFFF"/>
        <name val="Arial"/>
        <family val="2"/>
        <scheme val="none"/>
      </font>
      <fill>
        <patternFill patternType="solid">
          <fgColor indexed="64"/>
          <bgColor rgb="FF1F2D3D"/>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1"/>
        <color theme="1"/>
        <name val="Calibri"/>
        <family val="2"/>
        <scheme val="minor"/>
      </font>
      <numFmt numFmtId="164" formatCode="0.0%"/>
    </dxf>
    <dxf>
      <numFmt numFmtId="13" formatCode="0%"/>
    </dxf>
    <dxf>
      <font>
        <b val="0"/>
        <i val="0"/>
        <strike val="0"/>
        <condense val="0"/>
        <extend val="0"/>
        <outline val="0"/>
        <shadow val="0"/>
        <u val="none"/>
        <vertAlign val="baseline"/>
        <sz val="11"/>
        <color theme="1"/>
        <name val="Calibri"/>
        <family val="2"/>
        <scheme val="minor"/>
      </font>
      <numFmt numFmtId="164" formatCode="0.0%"/>
      <alignment horizontal="center" vertical="bottom" textRotation="0" wrapText="0" indent="0" justifyLastLine="0" shrinkToFit="0" readingOrder="0"/>
    </dxf>
    <dxf>
      <numFmt numFmtId="3" formatCode="#,##0"/>
      <fill>
        <patternFill patternType="solid">
          <fgColor indexed="64"/>
          <bgColor rgb="FFFFF2CC"/>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3" formatCode="#,##0"/>
      <fill>
        <patternFill patternType="solid">
          <fgColor indexed="64"/>
          <bgColor rgb="FFFFF2CC"/>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3" formatCode="#,##0"/>
      <fill>
        <patternFill patternType="solid">
          <fgColor indexed="64"/>
          <bgColor rgb="FFFFF2CC"/>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theme="1"/>
        <name val="Calibri"/>
        <family val="2"/>
        <scheme val="minor"/>
      </font>
      <numFmt numFmtId="166" formatCode="_(* #,##0_);_(* \(#,##0\);_(* &quot;-&quot;??_);_(@_)"/>
      <fill>
        <patternFill patternType="solid">
          <fgColor indexed="64"/>
          <bgColor rgb="FFFFF2CC"/>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theme="1"/>
        <name val="Calibri"/>
        <family val="2"/>
        <scheme val="minor"/>
      </font>
      <numFmt numFmtId="164" formatCode="0.0%"/>
      <fill>
        <patternFill patternType="solid">
          <fgColor indexed="64"/>
          <bgColor rgb="FFFFF2CC"/>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theme="1"/>
        <name val="Calibri"/>
        <family val="2"/>
        <scheme val="minor"/>
      </font>
      <numFmt numFmtId="164" formatCode="0.0%"/>
      <fill>
        <patternFill patternType="solid">
          <fgColor indexed="64"/>
          <bgColor rgb="FFFFF2CC"/>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3" formatCode="#,##0"/>
      <fill>
        <patternFill patternType="solid">
          <fgColor indexed="64"/>
          <bgColor rgb="FFFFF2CC"/>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FF"/>
        <name val="Arial"/>
        <scheme val="none"/>
      </font>
      <numFmt numFmtId="3" formatCode="#,##0"/>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FF"/>
        <name val="Arial"/>
        <scheme val="none"/>
      </font>
      <numFmt numFmtId="3" formatCode="#,##0"/>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FF"/>
        <name val="Arial"/>
        <scheme val="none"/>
      </font>
      <numFmt numFmtId="3" formatCode="#,##0"/>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FF"/>
        <name val="Arial"/>
        <scheme val="none"/>
      </font>
      <numFmt numFmtId="3" formatCode="#,##0"/>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rial"/>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rial"/>
        <scheme val="none"/>
      </font>
      <border diagonalUp="0" diagonalDown="0">
        <left/>
        <right style="thin">
          <color rgb="FFBFBFBF"/>
        </right>
        <top style="thin">
          <color rgb="FFBFBFBF"/>
        </top>
        <bottom style="thin">
          <color rgb="FFBFBFBF"/>
        </bottom>
        <vertical/>
        <horizontal/>
      </border>
    </dxf>
    <dxf>
      <border outline="0">
        <left style="thin">
          <color rgb="FFBFBFBF"/>
        </left>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164" formatCode="0.0%"/>
    </dxf>
    <dxf>
      <numFmt numFmtId="165" formatCode="_(* #,##0.0_);_(* \(#,##0.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jandro Sevilla Mejía" refreshedDate="46213.487493518522" createdVersion="8" refreshedVersion="8" minRefreshableVersion="3" recordCount="15" xr:uid="{B2F9B7EF-0DB2-43B3-B2B6-3015DD3390C9}">
  <cacheSource type="worksheet">
    <worksheetSource ref="A1:M16" sheet="Productos"/>
  </cacheSource>
  <cacheFields count="13">
    <cacheField name="Producto" numFmtId="0">
      <sharedItems/>
    </cacheField>
    <cacheField name="Categoría" numFmtId="0">
      <sharedItems count="8">
        <s v="Bebidas"/>
        <s v="Bebidas calientes"/>
        <s v="Snacks"/>
        <s v="Comida rápida"/>
        <s v="Tabaco"/>
        <s v="Otros"/>
        <s v="Automotriz"/>
        <s v="Combustible"/>
      </sharedItems>
    </cacheField>
    <cacheField name="Costo unitario (L.)" numFmtId="3">
      <sharedItems containsSemiMixedTypes="0" containsString="0" containsNumber="1" containsInteger="1" minValue="6" maxValue="92"/>
    </cacheField>
    <cacheField name="Precio venta (L.)" numFmtId="3">
      <sharedItems containsSemiMixedTypes="0" containsString="0" containsNumber="1" containsInteger="1" minValue="15" maxValue="105"/>
    </cacheField>
    <cacheField name="Unidades vendidas/mes" numFmtId="3">
      <sharedItems containsSemiMixedTypes="0" containsString="0" containsNumber="1" containsInteger="1" minValue="90" maxValue="5000"/>
    </cacheField>
    <cacheField name="Costo fijo asignado/mes (L.)" numFmtId="3">
      <sharedItems containsSemiMixedTypes="0" containsString="0" containsNumber="1" containsInteger="1" minValue="80" maxValue="500"/>
    </cacheField>
    <cacheField name="Utilidad unitaria (L.)" numFmtId="3">
      <sharedItems containsSemiMixedTypes="0" containsString="0" containsNumber="1" containsInteger="1" minValue="7" maxValue="35"/>
    </cacheField>
    <cacheField name="Margen (%)" numFmtId="164">
      <sharedItems containsSemiMixedTypes="0" containsString="0" containsNumber="1" minValue="0.10526315789473684" maxValue="0.7"/>
    </cacheField>
    <cacheField name="Markup (%)" numFmtId="164">
      <sharedItems containsSemiMixedTypes="0" containsString="0" containsNumber="1" minValue="0.11764705882352941" maxValue="2.3333333333333335"/>
    </cacheField>
    <cacheField name="Ingreso total (L.)" numFmtId="166">
      <sharedItems containsSemiMixedTypes="0" containsString="0" containsNumber="1" containsInteger="1" minValue="3000" maxValue="475000"/>
    </cacheField>
    <cacheField name="Costo variable total (L.)" numFmtId="3">
      <sharedItems containsSemiMixedTypes="0" containsString="0" containsNumber="1" containsInteger="1" minValue="1500" maxValue="425000"/>
    </cacheField>
    <cacheField name="Utilidad bruta total (L.)" numFmtId="3">
      <sharedItems containsSemiMixedTypes="0" containsString="0" containsNumber="1" containsInteger="1" minValue="1500" maxValue="50000"/>
    </cacheField>
    <cacheField name="Utilidad neta total (L.)" numFmtId="3">
      <sharedItems containsSemiMixedTypes="0" containsString="0" containsNumber="1" containsInteger="1" minValue="1420" maxValue="49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Agua 600ml"/>
    <x v="0"/>
    <n v="8"/>
    <n v="15"/>
    <n v="800"/>
    <n v="200"/>
    <n v="7"/>
    <n v="0.46666666666666667"/>
    <n v="0.875"/>
    <n v="12000"/>
    <n v="6400"/>
    <n v="5600"/>
    <n v="5400"/>
  </r>
  <r>
    <s v="Gaseosa 500ml"/>
    <x v="0"/>
    <n v="12"/>
    <n v="22"/>
    <n v="650"/>
    <n v="200"/>
    <n v="10"/>
    <n v="0.45454545454545453"/>
    <n v="0.83333333333333337"/>
    <n v="14300"/>
    <n v="7800"/>
    <n v="6500"/>
    <n v="6300"/>
  </r>
  <r>
    <s v="Energizante"/>
    <x v="0"/>
    <n v="20"/>
    <n v="38"/>
    <n v="300"/>
    <n v="200"/>
    <n v="18"/>
    <n v="0.47368421052631576"/>
    <n v="0.9"/>
    <n v="11400"/>
    <n v="6000"/>
    <n v="5400"/>
    <n v="5200"/>
  </r>
  <r>
    <s v="Café pequeño"/>
    <x v="1"/>
    <n v="6"/>
    <n v="20"/>
    <n v="500"/>
    <n v="150"/>
    <n v="14"/>
    <n v="0.7"/>
    <n v="2.3333333333333335"/>
    <n v="10000"/>
    <n v="3000"/>
    <n v="7000"/>
    <n v="6850"/>
  </r>
  <r>
    <s v="Café grande"/>
    <x v="1"/>
    <n v="9"/>
    <n v="28"/>
    <n v="300"/>
    <n v="150"/>
    <n v="19"/>
    <n v="0.6785714285714286"/>
    <n v="2.1111111111111112"/>
    <n v="8400"/>
    <n v="2700"/>
    <n v="5700"/>
    <n v="5550"/>
  </r>
  <r>
    <s v="Snack papas"/>
    <x v="2"/>
    <n v="10"/>
    <n v="18"/>
    <n v="600"/>
    <n v="100"/>
    <n v="8"/>
    <n v="0.44444444444444442"/>
    <n v="0.8"/>
    <n v="10800"/>
    <n v="6000"/>
    <n v="4800"/>
    <n v="4700"/>
  </r>
  <r>
    <s v="Chocolate barra"/>
    <x v="2"/>
    <n v="7"/>
    <n v="15"/>
    <n v="550"/>
    <n v="100"/>
    <n v="8"/>
    <n v="0.53333333333333333"/>
    <n v="1.1428571428571428"/>
    <n v="8250"/>
    <n v="3850"/>
    <n v="4400"/>
    <n v="4300"/>
  </r>
  <r>
    <s v="Galletas paquete"/>
    <x v="2"/>
    <n v="9"/>
    <n v="16"/>
    <n v="400"/>
    <n v="100"/>
    <n v="7"/>
    <n v="0.4375"/>
    <n v="0.77777777777777779"/>
    <n v="6400"/>
    <n v="3600"/>
    <n v="2800"/>
    <n v="2700"/>
  </r>
  <r>
    <s v="Sándwich empacado"/>
    <x v="3"/>
    <n v="18"/>
    <n v="32"/>
    <n v="200"/>
    <n v="150"/>
    <n v="14"/>
    <n v="0.4375"/>
    <n v="0.77777777777777779"/>
    <n v="6400"/>
    <n v="3600"/>
    <n v="2800"/>
    <n v="2650"/>
  </r>
  <r>
    <s v="Hot dog"/>
    <x v="3"/>
    <n v="15"/>
    <n v="30"/>
    <n v="180"/>
    <n v="150"/>
    <n v="15"/>
    <n v="0.5"/>
    <n v="1"/>
    <n v="5400"/>
    <n v="2700"/>
    <n v="2700"/>
    <n v="2550"/>
  </r>
  <r>
    <s v="Cigarros (paquete)"/>
    <x v="4"/>
    <n v="45"/>
    <n v="60"/>
    <n v="250"/>
    <n v="80"/>
    <n v="15"/>
    <n v="0.25"/>
    <n v="0.33333333333333331"/>
    <n v="15000"/>
    <n v="11250"/>
    <n v="3750"/>
    <n v="3670"/>
  </r>
  <r>
    <s v="Hielo bolsa"/>
    <x v="5"/>
    <n v="10"/>
    <n v="20"/>
    <n v="150"/>
    <n v="80"/>
    <n v="10"/>
    <n v="0.5"/>
    <n v="1"/>
    <n v="3000"/>
    <n v="1500"/>
    <n v="1500"/>
    <n v="1420"/>
  </r>
  <r>
    <s v="Aceite motor 1L"/>
    <x v="6"/>
    <n v="60"/>
    <n v="95"/>
    <n v="90"/>
    <n v="100"/>
    <n v="35"/>
    <n v="0.36842105263157893"/>
    <n v="0.58333333333333337"/>
    <n v="8550"/>
    <n v="5400"/>
    <n v="3150"/>
    <n v="3050"/>
  </r>
  <r>
    <s v="Combustible Regular (galón)"/>
    <x v="7"/>
    <n v="85"/>
    <n v="95"/>
    <n v="5000"/>
    <n v="500"/>
    <n v="10"/>
    <n v="0.10526315789473684"/>
    <n v="0.11764705882352941"/>
    <n v="475000"/>
    <n v="425000"/>
    <n v="50000"/>
    <n v="49500"/>
  </r>
  <r>
    <s v="Combustible Premium (galón)"/>
    <x v="7"/>
    <n v="92"/>
    <n v="105"/>
    <n v="2000"/>
    <n v="500"/>
    <n v="13"/>
    <n v="0.12380952380952381"/>
    <n v="0.14130434782608695"/>
    <n v="210000"/>
    <n v="184000"/>
    <n v="26000"/>
    <n v="25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FE662D-1B56-4910-B24C-883287E4B27D}"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12" firstHeaderRow="0" firstDataRow="1" firstDataCol="1"/>
  <pivotFields count="13">
    <pivotField showAll="0"/>
    <pivotField axis="axisRow" showAll="0">
      <items count="9">
        <item x="6"/>
        <item x="0"/>
        <item x="1"/>
        <item x="7"/>
        <item x="3"/>
        <item x="5"/>
        <item x="2"/>
        <item x="4"/>
        <item t="default"/>
      </items>
    </pivotField>
    <pivotField numFmtId="3" showAll="0"/>
    <pivotField numFmtId="3" showAll="0"/>
    <pivotField numFmtId="3" showAll="0"/>
    <pivotField numFmtId="3" showAll="0"/>
    <pivotField numFmtId="3" showAll="0"/>
    <pivotField dataField="1" numFmtId="164" showAll="0"/>
    <pivotField numFmtId="164" showAll="0"/>
    <pivotField numFmtId="166" showAll="0"/>
    <pivotField numFmtId="3" showAll="0"/>
    <pivotField numFmtId="3" showAll="0"/>
    <pivotField dataField="1" numFmtId="3" showAll="0"/>
  </pivotFields>
  <rowFields count="1">
    <field x="1"/>
  </rowFields>
  <rowItems count="9">
    <i>
      <x/>
    </i>
    <i>
      <x v="1"/>
    </i>
    <i>
      <x v="2"/>
    </i>
    <i>
      <x v="3"/>
    </i>
    <i>
      <x v="4"/>
    </i>
    <i>
      <x v="5"/>
    </i>
    <i>
      <x v="6"/>
    </i>
    <i>
      <x v="7"/>
    </i>
    <i t="grand">
      <x/>
    </i>
  </rowItems>
  <colFields count="1">
    <field x="-2"/>
  </colFields>
  <colItems count="2">
    <i>
      <x/>
    </i>
    <i i="1">
      <x v="1"/>
    </i>
  </colItems>
  <dataFields count="2">
    <dataField name="Suma de Utilidad neta total (L.)" fld="12" baseField="0" baseItem="0" numFmtId="165"/>
    <dataField name="Promedio de Margen (%)" fld="7" subtotal="average" baseField="1" baseItem="0" numFmtId="164"/>
  </dataFields>
  <formats count="2">
    <format dxfId="22">
      <pivotArea outline="0" collapsedLevelsAreSubtotals="1" fieldPosition="0"/>
    </format>
    <format dxfId="2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1A6E22-383D-4EDF-95A9-D4B7E61730E9}" name="Tabla1" displayName="Tabla1" ref="A1:S16" totalsRowShown="0" headerRowDxfId="0" tableBorderDxfId="17">
  <autoFilter ref="A1:S16" xr:uid="{B41A6E22-383D-4EDF-95A9-D4B7E61730E9}"/>
  <tableColumns count="19">
    <tableColumn id="1" xr3:uid="{60DD1749-80C9-4E47-BC8D-BCA6CF8DC9F1}" name="Producto" dataDxfId="16"/>
    <tableColumn id="2" xr3:uid="{40F1315B-3269-486A-9098-EFBEB415EBF7}" name="Categoría" dataDxfId="15"/>
    <tableColumn id="3" xr3:uid="{F68A1B53-2B33-4344-9871-C98B31B173AB}" name="Costo unitario (L.)" dataDxfId="14"/>
    <tableColumn id="4" xr3:uid="{493CC013-8EF9-475D-9BF8-05F182D75881}" name="Precio venta (L.)" dataDxfId="13"/>
    <tableColumn id="5" xr3:uid="{1EC732E3-12D8-4B48-A631-F3519FFD5246}" name="Unidades vendidas/mes" dataDxfId="12"/>
    <tableColumn id="6" xr3:uid="{C55D6066-0323-421A-B893-72223AF11E85}" name="Costo fijo asignado/mes (L.)" dataDxfId="11"/>
    <tableColumn id="7" xr3:uid="{C280CDFD-BFD1-47E9-9E8C-1246053CDA52}" name="Utilidad unitaria (L.)" dataDxfId="10">
      <calculatedColumnFormula xml:space="preserve"> D2-C2</calculatedColumnFormula>
    </tableColumn>
    <tableColumn id="8" xr3:uid="{080D6CC2-BB92-4EA5-A3AC-1D3996CC547C}" name="Margen (%)" dataDxfId="9" dataCellStyle="Porcentaje">
      <calculatedColumnFormula>(D2-C2)/D2</calculatedColumnFormula>
    </tableColumn>
    <tableColumn id="9" xr3:uid="{123EE1B4-1158-4CD9-B030-82BC7D1CB37A}" name="Markup (%)" dataDxfId="8" dataCellStyle="Porcentaje">
      <calculatedColumnFormula>(D2-C2)/C2</calculatedColumnFormula>
    </tableColumn>
    <tableColumn id="10" xr3:uid="{5AFD6C7A-BA02-40B6-89E7-C2581DCAF442}" name="Ingreso total (L.)" dataDxfId="7" dataCellStyle="Millares">
      <calculatedColumnFormula>D2*E2</calculatedColumnFormula>
    </tableColumn>
    <tableColumn id="11" xr3:uid="{D3760E66-E182-40E3-A922-A7DE496AA092}" name="Costo variable total (L.)" dataDxfId="6">
      <calculatedColumnFormula>C2*E2</calculatedColumnFormula>
    </tableColumn>
    <tableColumn id="12" xr3:uid="{DA496460-2739-4F78-A481-3CE9ED10B63F}" name="Utilidad bruta total (L.)" dataDxfId="5">
      <calculatedColumnFormula>J2-K2</calculatedColumnFormula>
    </tableColumn>
    <tableColumn id="13" xr3:uid="{0EAC0A64-30A8-48AB-AF8E-771C144B9506}" name="Utilidad neta total (L.)" dataDxfId="4">
      <calculatedColumnFormula>L2-F2</calculatedColumnFormula>
    </tableColumn>
    <tableColumn id="14" xr3:uid="{62256FBC-1E4E-4EB0-8FB7-84DAF1F3E9A6}" name="Clasificación" dataDxfId="3" dataCellStyle="Porcentaje">
      <calculatedColumnFormula>IF(ROUND(H2,4)&gt;=0.5,"Alto",IF(ROUND(H2,4)&gt;=0.25,"Medio","Bajo"))</calculatedColumnFormula>
    </tableColumn>
    <tableColumn id="15" xr3:uid="{E05D4A18-BEF7-4BC5-B34D-970F2F1A554D}" name="Control" dataDxfId="2"/>
    <tableColumn id="16" xr3:uid="{772171F2-7A5E-48EC-9823-706306C8D635}" name="Precio simulado">
      <calculatedColumnFormula>D2+(D2*$O$2)</calculatedColumnFormula>
    </tableColumn>
    <tableColumn id="17" xr3:uid="{22C206A3-8C99-46D3-A116-B000B5B2321D}" name="Margen simulado" dataDxfId="1" dataCellStyle="Porcentaje">
      <calculatedColumnFormula>(P2-C2)/P2</calculatedColumnFormula>
    </tableColumn>
    <tableColumn id="18" xr3:uid="{6F40298B-55A4-4318-96DE-A71F10BC814E}" name="Elasticidad asumida">
      <calculatedColumnFormula>_xlfn.XLOOKUP(B2,Resumen_Categoría!$A$2:$A$9,Resumen_Categoría!$C$2:$C$9)</calculatedColumnFormula>
    </tableColumn>
    <tableColumn id="19" xr3:uid="{2A239D70-C995-42A5-B183-1F4E0416A055}" name="Unidades simuladas">
      <calculatedColumnFormula>E2*(1+R2*$O$2)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showGridLines="0" workbookViewId="0"/>
  </sheetViews>
  <sheetFormatPr baseColWidth="10" defaultColWidth="8.88671875" defaultRowHeight="14.4" x14ac:dyDescent="0.3"/>
  <cols>
    <col min="1" max="1" width="100" customWidth="1"/>
  </cols>
  <sheetData>
    <row r="1" spans="1:1" ht="21" x14ac:dyDescent="0.4">
      <c r="A1" s="1" t="s">
        <v>0</v>
      </c>
    </row>
    <row r="2" spans="1:1" x14ac:dyDescent="0.3">
      <c r="A2" s="2"/>
    </row>
    <row r="3" spans="1:1" x14ac:dyDescent="0.3">
      <c r="A3" s="2" t="s">
        <v>1</v>
      </c>
    </row>
    <row r="4" spans="1:1" x14ac:dyDescent="0.3">
      <c r="A4" s="2" t="s">
        <v>2</v>
      </c>
    </row>
    <row r="5" spans="1:1" x14ac:dyDescent="0.3">
      <c r="A5" s="2"/>
    </row>
    <row r="6" spans="1:1" x14ac:dyDescent="0.3">
      <c r="A6" s="2" t="s">
        <v>3</v>
      </c>
    </row>
    <row r="7" spans="1:1" x14ac:dyDescent="0.3">
      <c r="A7" s="2" t="s">
        <v>4</v>
      </c>
    </row>
    <row r="8" spans="1:1" x14ac:dyDescent="0.3">
      <c r="A8" s="2"/>
    </row>
    <row r="9" spans="1:1" x14ac:dyDescent="0.3">
      <c r="A9" s="2" t="s">
        <v>5</v>
      </c>
    </row>
    <row r="10" spans="1:1" x14ac:dyDescent="0.3">
      <c r="A10" s="2" t="s">
        <v>6</v>
      </c>
    </row>
    <row r="11" spans="1:1" x14ac:dyDescent="0.3">
      <c r="A11" s="2" t="s">
        <v>7</v>
      </c>
    </row>
    <row r="12" spans="1:1" x14ac:dyDescent="0.3">
      <c r="A12" s="2" t="s">
        <v>8</v>
      </c>
    </row>
    <row r="13" spans="1:1" x14ac:dyDescent="0.3">
      <c r="A13" s="2"/>
    </row>
    <row r="14" spans="1:1" x14ac:dyDescent="0.3">
      <c r="A14" s="2" t="s">
        <v>9</v>
      </c>
    </row>
    <row r="15" spans="1:1" x14ac:dyDescent="0.3">
      <c r="A15" s="2"/>
    </row>
    <row r="16" spans="1:1" x14ac:dyDescent="0.3">
      <c r="A16" s="2" t="s">
        <v>10</v>
      </c>
    </row>
    <row r="17" spans="1:1" x14ac:dyDescent="0.3">
      <c r="A17" s="2" t="s">
        <v>11</v>
      </c>
    </row>
    <row r="18" spans="1:1" x14ac:dyDescent="0.3">
      <c r="A18" s="2" t="s">
        <v>12</v>
      </c>
    </row>
    <row r="19" spans="1:1" x14ac:dyDescent="0.3">
      <c r="A19" s="2" t="s">
        <v>13</v>
      </c>
    </row>
    <row r="20" spans="1:1" x14ac:dyDescent="0.3">
      <c r="A20" s="2" t="s">
        <v>14</v>
      </c>
    </row>
    <row r="21" spans="1:1" x14ac:dyDescent="0.3">
      <c r="A21" s="2" t="s">
        <v>15</v>
      </c>
    </row>
    <row r="22" spans="1:1" x14ac:dyDescent="0.3">
      <c r="A22" s="2" t="s">
        <v>16</v>
      </c>
    </row>
    <row r="23" spans="1:1" x14ac:dyDescent="0.3">
      <c r="A23" s="2"/>
    </row>
    <row r="24" spans="1:1" x14ac:dyDescent="0.3">
      <c r="A24" s="2" t="s">
        <v>17</v>
      </c>
    </row>
    <row r="25" spans="1:1" x14ac:dyDescent="0.3">
      <c r="A25" s="2" t="s">
        <v>18</v>
      </c>
    </row>
    <row r="26" spans="1:1" x14ac:dyDescent="0.3">
      <c r="A26" s="2"/>
    </row>
    <row r="27" spans="1:1" x14ac:dyDescent="0.3">
      <c r="A27"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74156-0DCD-4ACA-AB81-C9977C00294F}">
  <dimension ref="A3:C12"/>
  <sheetViews>
    <sheetView workbookViewId="0">
      <selection activeCell="D6" sqref="D6"/>
    </sheetView>
  </sheetViews>
  <sheetFormatPr baseColWidth="10" defaultRowHeight="14.4" x14ac:dyDescent="0.3"/>
  <cols>
    <col min="1" max="1" width="16.5546875" bestFit="1" customWidth="1"/>
    <col min="2" max="2" width="27.44140625" bestFit="1" customWidth="1"/>
    <col min="3" max="3" width="22.21875" bestFit="1" customWidth="1"/>
    <col min="4" max="8" width="21.44140625" bestFit="1" customWidth="1"/>
    <col min="9" max="9" width="11.88671875" bestFit="1" customWidth="1"/>
  </cols>
  <sheetData>
    <row r="3" spans="1:3" x14ac:dyDescent="0.3">
      <c r="A3" s="16" t="s">
        <v>67</v>
      </c>
      <c r="B3" t="s">
        <v>68</v>
      </c>
      <c r="C3" t="s">
        <v>69</v>
      </c>
    </row>
    <row r="4" spans="1:3" x14ac:dyDescent="0.3">
      <c r="A4" s="17" t="s">
        <v>52</v>
      </c>
      <c r="B4" s="18">
        <v>3050</v>
      </c>
      <c r="C4" s="19">
        <v>0.36842105263157893</v>
      </c>
    </row>
    <row r="5" spans="1:3" x14ac:dyDescent="0.3">
      <c r="A5" s="17" t="s">
        <v>34</v>
      </c>
      <c r="B5" s="18">
        <v>16900</v>
      </c>
      <c r="C5" s="19">
        <v>0.4649654439128123</v>
      </c>
    </row>
    <row r="6" spans="1:3" x14ac:dyDescent="0.3">
      <c r="A6" s="17" t="s">
        <v>38</v>
      </c>
      <c r="B6" s="18">
        <v>12400</v>
      </c>
      <c r="C6" s="19">
        <v>0.68928571428571428</v>
      </c>
    </row>
    <row r="7" spans="1:3" x14ac:dyDescent="0.3">
      <c r="A7" s="17" t="s">
        <v>54</v>
      </c>
      <c r="B7" s="18">
        <v>75000</v>
      </c>
      <c r="C7" s="19">
        <v>0.11453634085213033</v>
      </c>
    </row>
    <row r="8" spans="1:3" x14ac:dyDescent="0.3">
      <c r="A8" s="17" t="s">
        <v>45</v>
      </c>
      <c r="B8" s="18">
        <v>5200</v>
      </c>
      <c r="C8" s="19">
        <v>0.46875</v>
      </c>
    </row>
    <row r="9" spans="1:3" x14ac:dyDescent="0.3">
      <c r="A9" s="17" t="s">
        <v>50</v>
      </c>
      <c r="B9" s="18">
        <v>1420</v>
      </c>
      <c r="C9" s="19">
        <v>0.5</v>
      </c>
    </row>
    <row r="10" spans="1:3" x14ac:dyDescent="0.3">
      <c r="A10" s="17" t="s">
        <v>41</v>
      </c>
      <c r="B10" s="18">
        <v>11700</v>
      </c>
      <c r="C10" s="19">
        <v>0.47175925925925927</v>
      </c>
    </row>
    <row r="11" spans="1:3" x14ac:dyDescent="0.3">
      <c r="A11" s="17" t="s">
        <v>48</v>
      </c>
      <c r="B11" s="18">
        <v>3670</v>
      </c>
      <c r="C11" s="19">
        <v>0.25</v>
      </c>
    </row>
    <row r="12" spans="1:3" x14ac:dyDescent="0.3">
      <c r="A12" s="17" t="s">
        <v>66</v>
      </c>
      <c r="B12" s="18">
        <v>129340</v>
      </c>
      <c r="C12" s="19">
        <v>0.43158261816156551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CA74F-360C-468A-BA35-58E984496D77}">
  <dimension ref="A1:E9"/>
  <sheetViews>
    <sheetView workbookViewId="0">
      <selection activeCell="D23" sqref="D23"/>
    </sheetView>
  </sheetViews>
  <sheetFormatPr baseColWidth="10" defaultRowHeight="14.4" x14ac:dyDescent="0.3"/>
  <sheetData>
    <row r="1" spans="1:5" x14ac:dyDescent="0.3">
      <c r="A1" t="s">
        <v>21</v>
      </c>
      <c r="B1" t="s">
        <v>81</v>
      </c>
      <c r="C1" t="s">
        <v>80</v>
      </c>
    </row>
    <row r="2" spans="1:5" x14ac:dyDescent="0.3">
      <c r="A2" s="4" t="s">
        <v>34</v>
      </c>
      <c r="B2" s="14">
        <f>SUMIF(Productos!B2:B16,A2,Productos!M2:M16)</f>
        <v>16900</v>
      </c>
      <c r="C2">
        <v>-1.2</v>
      </c>
      <c r="D2" t="s">
        <v>74</v>
      </c>
      <c r="E2">
        <f>COUNTIF(Productos!N2:N16,D2)</f>
        <v>8</v>
      </c>
    </row>
    <row r="3" spans="1:5" x14ac:dyDescent="0.3">
      <c r="A3" s="4" t="s">
        <v>38</v>
      </c>
      <c r="B3" s="14">
        <f>SUMIF(Productos!B3:B16,A3,Productos!M3:M16)</f>
        <v>12400</v>
      </c>
      <c r="C3">
        <v>-0.8</v>
      </c>
      <c r="D3" t="s">
        <v>73</v>
      </c>
      <c r="E3">
        <f>COUNTIF(Productos!N3:N16,D3)</f>
        <v>5</v>
      </c>
    </row>
    <row r="4" spans="1:5" x14ac:dyDescent="0.3">
      <c r="A4" s="4" t="s">
        <v>41</v>
      </c>
      <c r="B4" s="14">
        <f>SUMIF(Productos!B4:B17,A4,Productos!M4:M17)</f>
        <v>11700</v>
      </c>
      <c r="C4">
        <v>-1.5</v>
      </c>
      <c r="D4" t="s">
        <v>75</v>
      </c>
      <c r="E4">
        <f>COUNTIF(Productos!N4:N17,D4)</f>
        <v>2</v>
      </c>
    </row>
    <row r="5" spans="1:5" x14ac:dyDescent="0.3">
      <c r="A5" s="4" t="s">
        <v>45</v>
      </c>
      <c r="B5" s="14">
        <f>SUMIF(Productos!B5:B18,A5,Productos!M5:M18)</f>
        <v>5200</v>
      </c>
      <c r="C5">
        <v>-1.3</v>
      </c>
      <c r="D5" s="15"/>
    </row>
    <row r="6" spans="1:5" x14ac:dyDescent="0.3">
      <c r="A6" s="4" t="s">
        <v>48</v>
      </c>
      <c r="B6" s="14">
        <f>SUMIF(Productos!B6:B19,A6,Productos!M6:M19)</f>
        <v>3670</v>
      </c>
      <c r="C6">
        <v>-0.3</v>
      </c>
    </row>
    <row r="7" spans="1:5" x14ac:dyDescent="0.3">
      <c r="A7" s="4" t="s">
        <v>50</v>
      </c>
      <c r="B7" s="14">
        <f>SUMIF(Productos!B7:B20,A7,Productos!M7:M20)</f>
        <v>1420</v>
      </c>
      <c r="C7">
        <v>-1</v>
      </c>
    </row>
    <row r="8" spans="1:5" x14ac:dyDescent="0.3">
      <c r="A8" s="4" t="s">
        <v>52</v>
      </c>
      <c r="B8" s="14">
        <f>SUMIF(Productos!B8:B21,A8,Productos!M8:M21)</f>
        <v>3050</v>
      </c>
      <c r="C8">
        <v>-0.5</v>
      </c>
    </row>
    <row r="9" spans="1:5" x14ac:dyDescent="0.3">
      <c r="A9" s="4" t="s">
        <v>54</v>
      </c>
      <c r="B9" s="14">
        <f>SUMIF(Productos!B9:B22,A9,Productos!M9:M22)</f>
        <v>75000</v>
      </c>
      <c r="C9">
        <v>-0.2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6"/>
  <sheetViews>
    <sheetView showGridLines="0" tabSelected="1" workbookViewId="0">
      <pane ySplit="1" topLeftCell="A2" activePane="bottomLeft" state="frozen"/>
      <selection pane="bottomLeft" activeCell="A21" sqref="A21"/>
    </sheetView>
  </sheetViews>
  <sheetFormatPr baseColWidth="10" defaultColWidth="8.88671875" defaultRowHeight="14.4" x14ac:dyDescent="0.3"/>
  <cols>
    <col min="1" max="1" width="26" customWidth="1"/>
    <col min="2" max="2" width="18" customWidth="1"/>
    <col min="3" max="3" width="20.109375" customWidth="1"/>
    <col min="4" max="4" width="18.77734375" customWidth="1"/>
    <col min="5" max="5" width="26.21875" customWidth="1"/>
    <col min="6" max="6" width="29.88671875" customWidth="1"/>
    <col min="7" max="7" width="21.6640625" customWidth="1"/>
    <col min="8" max="8" width="13.88671875" customWidth="1"/>
    <col min="9" max="9" width="13.77734375" customWidth="1"/>
    <col min="10" max="10" width="18.6640625" customWidth="1"/>
    <col min="11" max="11" width="25.33203125" customWidth="1"/>
    <col min="12" max="12" width="24.21875" customWidth="1"/>
    <col min="13" max="13" width="23.44140625" customWidth="1"/>
    <col min="14" max="14" width="15.21875" customWidth="1"/>
    <col min="15" max="15" width="10" customWidth="1"/>
    <col min="16" max="16" width="18.5546875" customWidth="1"/>
    <col min="17" max="17" width="19.5546875" customWidth="1"/>
    <col min="18" max="18" width="22.21875" customWidth="1"/>
    <col min="19" max="19" width="22.44140625" customWidth="1"/>
  </cols>
  <sheetData>
    <row r="1" spans="1:19" ht="31.95" customHeight="1" x14ac:dyDescent="0.3">
      <c r="A1" s="26" t="s">
        <v>20</v>
      </c>
      <c r="B1" s="3" t="s">
        <v>21</v>
      </c>
      <c r="C1" s="3" t="s">
        <v>22</v>
      </c>
      <c r="D1" s="3" t="s">
        <v>23</v>
      </c>
      <c r="E1" s="3" t="s">
        <v>24</v>
      </c>
      <c r="F1" s="3" t="s">
        <v>25</v>
      </c>
      <c r="G1" s="3" t="s">
        <v>26</v>
      </c>
      <c r="H1" s="3" t="s">
        <v>27</v>
      </c>
      <c r="I1" s="3" t="s">
        <v>28</v>
      </c>
      <c r="J1" s="3" t="s">
        <v>29</v>
      </c>
      <c r="K1" s="3" t="s">
        <v>30</v>
      </c>
      <c r="L1" s="3" t="s">
        <v>31</v>
      </c>
      <c r="M1" s="3" t="s">
        <v>32</v>
      </c>
      <c r="N1" s="20" t="s">
        <v>72</v>
      </c>
      <c r="O1" s="22" t="s">
        <v>76</v>
      </c>
      <c r="P1" s="22" t="s">
        <v>77</v>
      </c>
      <c r="Q1" s="22" t="s">
        <v>78</v>
      </c>
      <c r="R1" s="25" t="s">
        <v>80</v>
      </c>
      <c r="S1" s="25" t="s">
        <v>82</v>
      </c>
    </row>
    <row r="2" spans="1:19" x14ac:dyDescent="0.3">
      <c r="A2" s="27" t="s">
        <v>33</v>
      </c>
      <c r="B2" s="4" t="s">
        <v>34</v>
      </c>
      <c r="C2" s="8">
        <v>8</v>
      </c>
      <c r="D2" s="8">
        <v>15</v>
      </c>
      <c r="E2" s="8">
        <v>800</v>
      </c>
      <c r="F2" s="8">
        <v>200</v>
      </c>
      <c r="G2" s="9">
        <f t="shared" ref="G2:G16" si="0" xml:space="preserve"> D2-C2</f>
        <v>7</v>
      </c>
      <c r="H2" s="10">
        <f t="shared" ref="H2:H16" si="1">(D2-C2)/D2</f>
        <v>0.46666666666666667</v>
      </c>
      <c r="I2" s="10">
        <f t="shared" ref="I2:I16" si="2">(D2-C2)/C2</f>
        <v>0.875</v>
      </c>
      <c r="J2" s="11">
        <f t="shared" ref="J2:J16" si="3">D2*E2</f>
        <v>12000</v>
      </c>
      <c r="K2" s="9">
        <f t="shared" ref="K2:K16" si="4">C2*E2</f>
        <v>6400</v>
      </c>
      <c r="L2" s="9">
        <f t="shared" ref="L2:L16" si="5">J2-K2</f>
        <v>5600</v>
      </c>
      <c r="M2" s="9">
        <f t="shared" ref="M2:M16" si="6">L2-F2</f>
        <v>5400</v>
      </c>
      <c r="N2" s="21" t="str">
        <f>IF(ROUND(H2,4)&gt;=0.5,"Alto",IF(ROUND(H2,4)&gt;=0.25,"Medio","Bajo"))</f>
        <v>Medio</v>
      </c>
      <c r="O2" s="23">
        <v>0.1</v>
      </c>
      <c r="P2">
        <f>D2+(D2*$O$2)</f>
        <v>16.5</v>
      </c>
      <c r="Q2" s="24">
        <f>(P2-C2)/P2</f>
        <v>0.51515151515151514</v>
      </c>
      <c r="R2">
        <f>_xlfn.XLOOKUP(B2,Resumen_Categoría!$A$2:$A$9,Resumen_Categoría!$C$2:$C$9)</f>
        <v>-1.2</v>
      </c>
      <c r="S2">
        <f>E2*(1+R2*$O$2)</f>
        <v>704</v>
      </c>
    </row>
    <row r="3" spans="1:19" x14ac:dyDescent="0.3">
      <c r="A3" s="27" t="s">
        <v>35</v>
      </c>
      <c r="B3" s="4" t="s">
        <v>34</v>
      </c>
      <c r="C3" s="8">
        <v>12</v>
      </c>
      <c r="D3" s="8">
        <v>22</v>
      </c>
      <c r="E3" s="8">
        <v>650</v>
      </c>
      <c r="F3" s="8">
        <v>200</v>
      </c>
      <c r="G3" s="9">
        <f t="shared" si="0"/>
        <v>10</v>
      </c>
      <c r="H3" s="10">
        <f t="shared" si="1"/>
        <v>0.45454545454545453</v>
      </c>
      <c r="I3" s="10">
        <f t="shared" si="2"/>
        <v>0.83333333333333337</v>
      </c>
      <c r="J3" s="11">
        <f t="shared" si="3"/>
        <v>14300</v>
      </c>
      <c r="K3" s="9">
        <f t="shared" si="4"/>
        <v>7800</v>
      </c>
      <c r="L3" s="9">
        <f t="shared" si="5"/>
        <v>6500</v>
      </c>
      <c r="M3" s="9">
        <f t="shared" si="6"/>
        <v>6300</v>
      </c>
      <c r="N3" s="21" t="str">
        <f t="shared" ref="N3:N16" si="7">IF(ROUND(H3,4)&gt;=0.5,"Alto",IF(ROUND(H3,4)&gt;=0.25,"Medio","Bajo"))</f>
        <v>Medio</v>
      </c>
      <c r="O3" s="23">
        <v>0.1</v>
      </c>
      <c r="P3">
        <f t="shared" ref="P3:P16" si="8">D3+(D3*$O$2)</f>
        <v>24.2</v>
      </c>
      <c r="Q3" s="24">
        <f t="shared" ref="Q3:Q16" si="9">(P3-C3)/P3</f>
        <v>0.50413223140495866</v>
      </c>
      <c r="R3">
        <f>_xlfn.XLOOKUP(B3,Resumen_Categoría!$A$2:$A$9,Resumen_Categoría!$C$2:$C$9)</f>
        <v>-1.2</v>
      </c>
      <c r="S3">
        <f>E3*(1+R3*$O$2)</f>
        <v>572</v>
      </c>
    </row>
    <row r="4" spans="1:19" x14ac:dyDescent="0.3">
      <c r="A4" s="27" t="s">
        <v>36</v>
      </c>
      <c r="B4" s="4" t="s">
        <v>34</v>
      </c>
      <c r="C4" s="8">
        <v>20</v>
      </c>
      <c r="D4" s="8">
        <v>38</v>
      </c>
      <c r="E4" s="8">
        <v>300</v>
      </c>
      <c r="F4" s="8">
        <v>200</v>
      </c>
      <c r="G4" s="9">
        <f t="shared" si="0"/>
        <v>18</v>
      </c>
      <c r="H4" s="10">
        <f t="shared" si="1"/>
        <v>0.47368421052631576</v>
      </c>
      <c r="I4" s="10">
        <f t="shared" si="2"/>
        <v>0.9</v>
      </c>
      <c r="J4" s="11">
        <f t="shared" si="3"/>
        <v>11400</v>
      </c>
      <c r="K4" s="9">
        <f t="shared" si="4"/>
        <v>6000</v>
      </c>
      <c r="L4" s="9">
        <f t="shared" si="5"/>
        <v>5400</v>
      </c>
      <c r="M4" s="9">
        <f t="shared" si="6"/>
        <v>5200</v>
      </c>
      <c r="N4" s="21" t="str">
        <f t="shared" si="7"/>
        <v>Medio</v>
      </c>
      <c r="O4" s="23">
        <v>0.1</v>
      </c>
      <c r="P4">
        <f t="shared" si="8"/>
        <v>41.8</v>
      </c>
      <c r="Q4" s="24">
        <f t="shared" si="9"/>
        <v>0.52153110047846885</v>
      </c>
      <c r="R4">
        <f>_xlfn.XLOOKUP(B4,Resumen_Categoría!$A$2:$A$9,Resumen_Categoría!$C$2:$C$9)</f>
        <v>-1.2</v>
      </c>
      <c r="S4">
        <f>E4*(1+R4*$O$2)</f>
        <v>264</v>
      </c>
    </row>
    <row r="5" spans="1:19" x14ac:dyDescent="0.3">
      <c r="A5" s="27" t="s">
        <v>37</v>
      </c>
      <c r="B5" s="4" t="s">
        <v>38</v>
      </c>
      <c r="C5" s="8">
        <v>6</v>
      </c>
      <c r="D5" s="8">
        <v>20</v>
      </c>
      <c r="E5" s="8">
        <v>500</v>
      </c>
      <c r="F5" s="8">
        <v>150</v>
      </c>
      <c r="G5" s="9">
        <f t="shared" si="0"/>
        <v>14</v>
      </c>
      <c r="H5" s="10">
        <f t="shared" si="1"/>
        <v>0.7</v>
      </c>
      <c r="I5" s="10">
        <f t="shared" si="2"/>
        <v>2.3333333333333335</v>
      </c>
      <c r="J5" s="11">
        <f t="shared" si="3"/>
        <v>10000</v>
      </c>
      <c r="K5" s="9">
        <f t="shared" si="4"/>
        <v>3000</v>
      </c>
      <c r="L5" s="9">
        <f t="shared" si="5"/>
        <v>7000</v>
      </c>
      <c r="M5" s="9">
        <f t="shared" si="6"/>
        <v>6850</v>
      </c>
      <c r="N5" s="21" t="str">
        <f t="shared" si="7"/>
        <v>Alto</v>
      </c>
      <c r="O5" s="23">
        <v>0.1</v>
      </c>
      <c r="P5">
        <f t="shared" si="8"/>
        <v>22</v>
      </c>
      <c r="Q5" s="24">
        <f t="shared" si="9"/>
        <v>0.72727272727272729</v>
      </c>
      <c r="R5">
        <f>_xlfn.XLOOKUP(B5,Resumen_Categoría!$A$2:$A$9,Resumen_Categoría!$C$2:$C$9)</f>
        <v>-0.8</v>
      </c>
      <c r="S5">
        <f>E5*(1+R5*$O$2)</f>
        <v>459.99999999999994</v>
      </c>
    </row>
    <row r="6" spans="1:19" x14ac:dyDescent="0.3">
      <c r="A6" s="27" t="s">
        <v>39</v>
      </c>
      <c r="B6" s="4" t="s">
        <v>38</v>
      </c>
      <c r="C6" s="8">
        <v>9</v>
      </c>
      <c r="D6" s="8">
        <v>28</v>
      </c>
      <c r="E6" s="8">
        <v>300</v>
      </c>
      <c r="F6" s="8">
        <v>150</v>
      </c>
      <c r="G6" s="9">
        <f t="shared" si="0"/>
        <v>19</v>
      </c>
      <c r="H6" s="10">
        <f t="shared" si="1"/>
        <v>0.6785714285714286</v>
      </c>
      <c r="I6" s="10">
        <f t="shared" si="2"/>
        <v>2.1111111111111112</v>
      </c>
      <c r="J6" s="11">
        <f t="shared" si="3"/>
        <v>8400</v>
      </c>
      <c r="K6" s="9">
        <f t="shared" si="4"/>
        <v>2700</v>
      </c>
      <c r="L6" s="9">
        <f t="shared" si="5"/>
        <v>5700</v>
      </c>
      <c r="M6" s="9">
        <f t="shared" si="6"/>
        <v>5550</v>
      </c>
      <c r="N6" s="21" t="str">
        <f t="shared" si="7"/>
        <v>Alto</v>
      </c>
      <c r="O6" s="23">
        <v>0.1</v>
      </c>
      <c r="P6">
        <f t="shared" si="8"/>
        <v>30.8</v>
      </c>
      <c r="Q6" s="24">
        <f t="shared" si="9"/>
        <v>0.70779220779220775</v>
      </c>
      <c r="R6">
        <f>_xlfn.XLOOKUP(B6,Resumen_Categoría!$A$2:$A$9,Resumen_Categoría!$C$2:$C$9)</f>
        <v>-0.8</v>
      </c>
      <c r="S6">
        <f>E6*(1+R6*$O$2)</f>
        <v>276</v>
      </c>
    </row>
    <row r="7" spans="1:19" x14ac:dyDescent="0.3">
      <c r="A7" s="27" t="s">
        <v>40</v>
      </c>
      <c r="B7" s="4" t="s">
        <v>41</v>
      </c>
      <c r="C7" s="8">
        <v>10</v>
      </c>
      <c r="D7" s="8">
        <v>18</v>
      </c>
      <c r="E7" s="8">
        <v>600</v>
      </c>
      <c r="F7" s="8">
        <v>100</v>
      </c>
      <c r="G7" s="9">
        <f t="shared" si="0"/>
        <v>8</v>
      </c>
      <c r="H7" s="10">
        <f t="shared" si="1"/>
        <v>0.44444444444444442</v>
      </c>
      <c r="I7" s="10">
        <f t="shared" si="2"/>
        <v>0.8</v>
      </c>
      <c r="J7" s="11">
        <f t="shared" si="3"/>
        <v>10800</v>
      </c>
      <c r="K7" s="9">
        <f t="shared" si="4"/>
        <v>6000</v>
      </c>
      <c r="L7" s="9">
        <f t="shared" si="5"/>
        <v>4800</v>
      </c>
      <c r="M7" s="9">
        <f t="shared" si="6"/>
        <v>4700</v>
      </c>
      <c r="N7" s="21" t="str">
        <f t="shared" si="7"/>
        <v>Medio</v>
      </c>
      <c r="O7" s="23">
        <v>0.1</v>
      </c>
      <c r="P7">
        <f t="shared" si="8"/>
        <v>19.8</v>
      </c>
      <c r="Q7" s="24">
        <f t="shared" si="9"/>
        <v>0.49494949494949497</v>
      </c>
      <c r="R7">
        <f>_xlfn.XLOOKUP(B7,Resumen_Categoría!$A$2:$A$9,Resumen_Categoría!$C$2:$C$9)</f>
        <v>-1.5</v>
      </c>
      <c r="S7">
        <f>E7*(1+R7*$O$2)</f>
        <v>510</v>
      </c>
    </row>
    <row r="8" spans="1:19" x14ac:dyDescent="0.3">
      <c r="A8" s="27" t="s">
        <v>42</v>
      </c>
      <c r="B8" s="4" t="s">
        <v>41</v>
      </c>
      <c r="C8" s="8">
        <v>7</v>
      </c>
      <c r="D8" s="8">
        <v>15</v>
      </c>
      <c r="E8" s="8">
        <v>550</v>
      </c>
      <c r="F8" s="8">
        <v>100</v>
      </c>
      <c r="G8" s="9">
        <f t="shared" si="0"/>
        <v>8</v>
      </c>
      <c r="H8" s="10">
        <f t="shared" si="1"/>
        <v>0.53333333333333333</v>
      </c>
      <c r="I8" s="10">
        <f t="shared" si="2"/>
        <v>1.1428571428571428</v>
      </c>
      <c r="J8" s="11">
        <f t="shared" si="3"/>
        <v>8250</v>
      </c>
      <c r="K8" s="9">
        <f t="shared" si="4"/>
        <v>3850</v>
      </c>
      <c r="L8" s="9">
        <f t="shared" si="5"/>
        <v>4400</v>
      </c>
      <c r="M8" s="9">
        <f t="shared" si="6"/>
        <v>4300</v>
      </c>
      <c r="N8" s="21" t="str">
        <f t="shared" si="7"/>
        <v>Alto</v>
      </c>
      <c r="O8" s="23">
        <v>0.1</v>
      </c>
      <c r="P8">
        <f t="shared" si="8"/>
        <v>16.5</v>
      </c>
      <c r="Q8" s="24">
        <f t="shared" si="9"/>
        <v>0.5757575757575758</v>
      </c>
      <c r="R8">
        <f>_xlfn.XLOOKUP(B8,Resumen_Categoría!$A$2:$A$9,Resumen_Categoría!$C$2:$C$9)</f>
        <v>-1.5</v>
      </c>
      <c r="S8">
        <f>E8*(1+R8*$O$2)</f>
        <v>467.5</v>
      </c>
    </row>
    <row r="9" spans="1:19" x14ac:dyDescent="0.3">
      <c r="A9" s="27" t="s">
        <v>43</v>
      </c>
      <c r="B9" s="4" t="s">
        <v>41</v>
      </c>
      <c r="C9" s="8">
        <v>9</v>
      </c>
      <c r="D9" s="8">
        <v>16</v>
      </c>
      <c r="E9" s="8">
        <v>400</v>
      </c>
      <c r="F9" s="8">
        <v>100</v>
      </c>
      <c r="G9" s="9">
        <f t="shared" si="0"/>
        <v>7</v>
      </c>
      <c r="H9" s="10">
        <f t="shared" si="1"/>
        <v>0.4375</v>
      </c>
      <c r="I9" s="10">
        <f t="shared" si="2"/>
        <v>0.77777777777777779</v>
      </c>
      <c r="J9" s="11">
        <f t="shared" si="3"/>
        <v>6400</v>
      </c>
      <c r="K9" s="9">
        <f t="shared" si="4"/>
        <v>3600</v>
      </c>
      <c r="L9" s="9">
        <f t="shared" si="5"/>
        <v>2800</v>
      </c>
      <c r="M9" s="9">
        <f t="shared" si="6"/>
        <v>2700</v>
      </c>
      <c r="N9" s="21" t="str">
        <f t="shared" si="7"/>
        <v>Medio</v>
      </c>
      <c r="O9" s="23">
        <v>0.1</v>
      </c>
      <c r="P9">
        <f t="shared" si="8"/>
        <v>17.600000000000001</v>
      </c>
      <c r="Q9" s="24">
        <f t="shared" si="9"/>
        <v>0.4886363636363637</v>
      </c>
      <c r="R9">
        <f>_xlfn.XLOOKUP(B9,Resumen_Categoría!$A$2:$A$9,Resumen_Categoría!$C$2:$C$9)</f>
        <v>-1.5</v>
      </c>
      <c r="S9">
        <f>E9*(1+R9*$O$2)</f>
        <v>340</v>
      </c>
    </row>
    <row r="10" spans="1:19" x14ac:dyDescent="0.3">
      <c r="A10" s="27" t="s">
        <v>44</v>
      </c>
      <c r="B10" s="4" t="s">
        <v>45</v>
      </c>
      <c r="C10" s="8">
        <v>18</v>
      </c>
      <c r="D10" s="8">
        <v>32</v>
      </c>
      <c r="E10" s="8">
        <v>200</v>
      </c>
      <c r="F10" s="8">
        <v>150</v>
      </c>
      <c r="G10" s="9">
        <f t="shared" si="0"/>
        <v>14</v>
      </c>
      <c r="H10" s="10">
        <f t="shared" si="1"/>
        <v>0.4375</v>
      </c>
      <c r="I10" s="10">
        <f t="shared" si="2"/>
        <v>0.77777777777777779</v>
      </c>
      <c r="J10" s="11">
        <f t="shared" si="3"/>
        <v>6400</v>
      </c>
      <c r="K10" s="9">
        <f t="shared" si="4"/>
        <v>3600</v>
      </c>
      <c r="L10" s="9">
        <f t="shared" si="5"/>
        <v>2800</v>
      </c>
      <c r="M10" s="9">
        <f t="shared" si="6"/>
        <v>2650</v>
      </c>
      <c r="N10" s="21" t="str">
        <f t="shared" si="7"/>
        <v>Medio</v>
      </c>
      <c r="O10" s="23">
        <v>0.1</v>
      </c>
      <c r="P10">
        <f t="shared" si="8"/>
        <v>35.200000000000003</v>
      </c>
      <c r="Q10" s="24">
        <f t="shared" si="9"/>
        <v>0.4886363636363637</v>
      </c>
      <c r="R10">
        <f>_xlfn.XLOOKUP(B10,Resumen_Categoría!$A$2:$A$9,Resumen_Categoría!$C$2:$C$9)</f>
        <v>-1.3</v>
      </c>
      <c r="S10">
        <f>E10*(1+R10*$O$2)</f>
        <v>174</v>
      </c>
    </row>
    <row r="11" spans="1:19" x14ac:dyDescent="0.3">
      <c r="A11" s="27" t="s">
        <v>46</v>
      </c>
      <c r="B11" s="4" t="s">
        <v>45</v>
      </c>
      <c r="C11" s="8">
        <v>15</v>
      </c>
      <c r="D11" s="8">
        <v>30</v>
      </c>
      <c r="E11" s="8">
        <v>180</v>
      </c>
      <c r="F11" s="8">
        <v>150</v>
      </c>
      <c r="G11" s="9">
        <f t="shared" si="0"/>
        <v>15</v>
      </c>
      <c r="H11" s="10">
        <f t="shared" si="1"/>
        <v>0.5</v>
      </c>
      <c r="I11" s="10">
        <f t="shared" si="2"/>
        <v>1</v>
      </c>
      <c r="J11" s="11">
        <f t="shared" si="3"/>
        <v>5400</v>
      </c>
      <c r="K11" s="9">
        <f t="shared" si="4"/>
        <v>2700</v>
      </c>
      <c r="L11" s="9">
        <f t="shared" si="5"/>
        <v>2700</v>
      </c>
      <c r="M11" s="9">
        <f t="shared" si="6"/>
        <v>2550</v>
      </c>
      <c r="N11" s="21" t="str">
        <f t="shared" si="7"/>
        <v>Alto</v>
      </c>
      <c r="O11" s="23">
        <v>0.1</v>
      </c>
      <c r="P11">
        <f t="shared" si="8"/>
        <v>33</v>
      </c>
      <c r="Q11" s="24">
        <f t="shared" si="9"/>
        <v>0.54545454545454541</v>
      </c>
      <c r="R11">
        <f>_xlfn.XLOOKUP(B11,Resumen_Categoría!$A$2:$A$9,Resumen_Categoría!$C$2:$C$9)</f>
        <v>-1.3</v>
      </c>
      <c r="S11">
        <f>E11*(1+R11*$O$2)</f>
        <v>156.6</v>
      </c>
    </row>
    <row r="12" spans="1:19" x14ac:dyDescent="0.3">
      <c r="A12" s="27" t="s">
        <v>47</v>
      </c>
      <c r="B12" s="4" t="s">
        <v>48</v>
      </c>
      <c r="C12" s="8">
        <v>45</v>
      </c>
      <c r="D12" s="8">
        <v>60</v>
      </c>
      <c r="E12" s="8">
        <v>250</v>
      </c>
      <c r="F12" s="8">
        <v>80</v>
      </c>
      <c r="G12" s="9">
        <f t="shared" si="0"/>
        <v>15</v>
      </c>
      <c r="H12" s="10">
        <f t="shared" si="1"/>
        <v>0.25</v>
      </c>
      <c r="I12" s="10">
        <f t="shared" si="2"/>
        <v>0.33333333333333331</v>
      </c>
      <c r="J12" s="11">
        <f t="shared" si="3"/>
        <v>15000</v>
      </c>
      <c r="K12" s="9">
        <f t="shared" si="4"/>
        <v>11250</v>
      </c>
      <c r="L12" s="9">
        <f t="shared" si="5"/>
        <v>3750</v>
      </c>
      <c r="M12" s="9">
        <f t="shared" si="6"/>
        <v>3670</v>
      </c>
      <c r="N12" s="21" t="str">
        <f t="shared" si="7"/>
        <v>Medio</v>
      </c>
      <c r="O12" s="23">
        <v>0.1</v>
      </c>
      <c r="P12">
        <f t="shared" si="8"/>
        <v>66</v>
      </c>
      <c r="Q12" s="24">
        <f t="shared" si="9"/>
        <v>0.31818181818181818</v>
      </c>
      <c r="R12">
        <f>_xlfn.XLOOKUP(B12,Resumen_Categoría!$A$2:$A$9,Resumen_Categoría!$C$2:$C$9)</f>
        <v>-0.3</v>
      </c>
      <c r="S12">
        <f>E12*(1+R12*$O$2)</f>
        <v>242.5</v>
      </c>
    </row>
    <row r="13" spans="1:19" x14ac:dyDescent="0.3">
      <c r="A13" s="27" t="s">
        <v>49</v>
      </c>
      <c r="B13" s="4" t="s">
        <v>50</v>
      </c>
      <c r="C13" s="8">
        <v>10</v>
      </c>
      <c r="D13" s="8">
        <v>20</v>
      </c>
      <c r="E13" s="8">
        <v>150</v>
      </c>
      <c r="F13" s="8">
        <v>80</v>
      </c>
      <c r="G13" s="9">
        <f t="shared" si="0"/>
        <v>10</v>
      </c>
      <c r="H13" s="10">
        <f t="shared" si="1"/>
        <v>0.5</v>
      </c>
      <c r="I13" s="10">
        <f t="shared" si="2"/>
        <v>1</v>
      </c>
      <c r="J13" s="11">
        <f t="shared" si="3"/>
        <v>3000</v>
      </c>
      <c r="K13" s="9">
        <f t="shared" si="4"/>
        <v>1500</v>
      </c>
      <c r="L13" s="9">
        <f t="shared" si="5"/>
        <v>1500</v>
      </c>
      <c r="M13" s="9">
        <f t="shared" si="6"/>
        <v>1420</v>
      </c>
      <c r="N13" s="21" t="str">
        <f t="shared" si="7"/>
        <v>Alto</v>
      </c>
      <c r="O13" s="23">
        <v>0.1</v>
      </c>
      <c r="P13">
        <f t="shared" si="8"/>
        <v>22</v>
      </c>
      <c r="Q13" s="24">
        <f t="shared" si="9"/>
        <v>0.54545454545454541</v>
      </c>
      <c r="R13">
        <f>_xlfn.XLOOKUP(B13,Resumen_Categoría!$A$2:$A$9,Resumen_Categoría!$C$2:$C$9)</f>
        <v>-1</v>
      </c>
      <c r="S13">
        <f>E13*(1+R13*$O$2)</f>
        <v>135</v>
      </c>
    </row>
    <row r="14" spans="1:19" x14ac:dyDescent="0.3">
      <c r="A14" s="27" t="s">
        <v>51</v>
      </c>
      <c r="B14" s="4" t="s">
        <v>52</v>
      </c>
      <c r="C14" s="8">
        <v>60</v>
      </c>
      <c r="D14" s="8">
        <v>95</v>
      </c>
      <c r="E14" s="8">
        <v>90</v>
      </c>
      <c r="F14" s="8">
        <v>100</v>
      </c>
      <c r="G14" s="9">
        <f t="shared" si="0"/>
        <v>35</v>
      </c>
      <c r="H14" s="10">
        <f t="shared" si="1"/>
        <v>0.36842105263157893</v>
      </c>
      <c r="I14" s="10">
        <f t="shared" si="2"/>
        <v>0.58333333333333337</v>
      </c>
      <c r="J14" s="11">
        <f t="shared" si="3"/>
        <v>8550</v>
      </c>
      <c r="K14" s="9">
        <f t="shared" si="4"/>
        <v>5400</v>
      </c>
      <c r="L14" s="9">
        <f t="shared" si="5"/>
        <v>3150</v>
      </c>
      <c r="M14" s="9">
        <f t="shared" si="6"/>
        <v>3050</v>
      </c>
      <c r="N14" s="21" t="str">
        <f t="shared" si="7"/>
        <v>Medio</v>
      </c>
      <c r="O14" s="23">
        <v>0.1</v>
      </c>
      <c r="P14">
        <f t="shared" si="8"/>
        <v>104.5</v>
      </c>
      <c r="Q14" s="24">
        <f t="shared" si="9"/>
        <v>0.42583732057416268</v>
      </c>
      <c r="R14">
        <f>_xlfn.XLOOKUP(B14,Resumen_Categoría!$A$2:$A$9,Resumen_Categoría!$C$2:$C$9)</f>
        <v>-0.5</v>
      </c>
      <c r="S14">
        <f>E14*(1+R14*$O$2)</f>
        <v>85.5</v>
      </c>
    </row>
    <row r="15" spans="1:19" x14ac:dyDescent="0.3">
      <c r="A15" s="27" t="s">
        <v>53</v>
      </c>
      <c r="B15" s="4" t="s">
        <v>54</v>
      </c>
      <c r="C15" s="8">
        <v>85</v>
      </c>
      <c r="D15" s="8">
        <v>95</v>
      </c>
      <c r="E15" s="8">
        <v>5000</v>
      </c>
      <c r="F15" s="8">
        <v>500</v>
      </c>
      <c r="G15" s="9">
        <f t="shared" si="0"/>
        <v>10</v>
      </c>
      <c r="H15" s="10">
        <f t="shared" si="1"/>
        <v>0.10526315789473684</v>
      </c>
      <c r="I15" s="10">
        <f t="shared" si="2"/>
        <v>0.11764705882352941</v>
      </c>
      <c r="J15" s="11">
        <f t="shared" si="3"/>
        <v>475000</v>
      </c>
      <c r="K15" s="9">
        <f t="shared" si="4"/>
        <v>425000</v>
      </c>
      <c r="L15" s="9">
        <f t="shared" si="5"/>
        <v>50000</v>
      </c>
      <c r="M15" s="9">
        <f t="shared" si="6"/>
        <v>49500</v>
      </c>
      <c r="N15" s="21" t="str">
        <f t="shared" si="7"/>
        <v>Bajo</v>
      </c>
      <c r="O15" s="23">
        <v>0.1</v>
      </c>
      <c r="P15">
        <f t="shared" si="8"/>
        <v>104.5</v>
      </c>
      <c r="Q15" s="24">
        <f t="shared" si="9"/>
        <v>0.18660287081339713</v>
      </c>
      <c r="R15">
        <f>_xlfn.XLOOKUP(B15,Resumen_Categoría!$A$2:$A$9,Resumen_Categoría!$C$2:$C$9)</f>
        <v>-0.2</v>
      </c>
      <c r="S15">
        <f>E15*(1+R15*$O$2)</f>
        <v>4900</v>
      </c>
    </row>
    <row r="16" spans="1:19" x14ac:dyDescent="0.3">
      <c r="A16" s="27" t="s">
        <v>55</v>
      </c>
      <c r="B16" s="4" t="s">
        <v>54</v>
      </c>
      <c r="C16" s="8">
        <v>92</v>
      </c>
      <c r="D16" s="8">
        <v>105</v>
      </c>
      <c r="E16" s="8">
        <v>2000</v>
      </c>
      <c r="F16" s="8">
        <v>500</v>
      </c>
      <c r="G16" s="9">
        <f t="shared" si="0"/>
        <v>13</v>
      </c>
      <c r="H16" s="10">
        <f t="shared" si="1"/>
        <v>0.12380952380952381</v>
      </c>
      <c r="I16" s="10">
        <f t="shared" si="2"/>
        <v>0.14130434782608695</v>
      </c>
      <c r="J16" s="11">
        <f t="shared" si="3"/>
        <v>210000</v>
      </c>
      <c r="K16" s="9">
        <f t="shared" si="4"/>
        <v>184000</v>
      </c>
      <c r="L16" s="9">
        <f t="shared" si="5"/>
        <v>26000</v>
      </c>
      <c r="M16" s="9">
        <f t="shared" si="6"/>
        <v>25500</v>
      </c>
      <c r="N16" s="21" t="str">
        <f t="shared" si="7"/>
        <v>Bajo</v>
      </c>
      <c r="O16" s="23">
        <v>0.1</v>
      </c>
      <c r="P16">
        <f t="shared" si="8"/>
        <v>115.5</v>
      </c>
      <c r="Q16" s="24">
        <f t="shared" si="9"/>
        <v>0.20346320346320346</v>
      </c>
      <c r="R16">
        <f>_xlfn.XLOOKUP(B16,Resumen_Categoría!$A$2:$A$9,Resumen_Categoría!$C$2:$C$9)</f>
        <v>-0.2</v>
      </c>
      <c r="S16">
        <f>E16*(1+R16*$O$2)</f>
        <v>1960</v>
      </c>
    </row>
  </sheetData>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696211A8-05BC-4526-8497-2308169749E1}">
            <xm:f>NOT(ISERROR(SEARCH($N$11,N2)))</xm:f>
            <xm:f>$N$11</xm:f>
            <x14:dxf>
              <font>
                <color rgb="FF006100"/>
              </font>
              <fill>
                <patternFill>
                  <bgColor rgb="FFC6EFCE"/>
                </patternFill>
              </fill>
            </x14:dxf>
          </x14:cfRule>
          <x14:cfRule type="containsText" priority="2" operator="containsText" id="{A4730F21-ACEE-441F-91D0-1CA2998C5B22}">
            <xm:f>NOT(ISERROR(SEARCH($N$14,N2)))</xm:f>
            <xm:f>$N$14</xm:f>
            <x14:dxf>
              <font>
                <color rgb="FF9C5700"/>
              </font>
              <fill>
                <patternFill>
                  <bgColor rgb="FFFFEB9C"/>
                </patternFill>
              </fill>
            </x14:dxf>
          </x14:cfRule>
          <x14:cfRule type="containsText" priority="3" operator="containsText" id="{414D4BDC-B970-4428-B780-B734514EEFC0}">
            <xm:f>NOT(ISERROR(SEARCH($N$15,N2)))</xm:f>
            <xm:f>$N$15</xm:f>
            <x14:dxf>
              <font>
                <color rgb="FF9C0006"/>
              </font>
              <fill>
                <patternFill>
                  <bgColor rgb="FFFFC7CE"/>
                </patternFill>
              </fill>
            </x14:dxf>
          </x14:cfRule>
          <xm:sqref>N2:N16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showGridLines="0" workbookViewId="0">
      <selection activeCell="A24" sqref="A24:E32"/>
    </sheetView>
  </sheetViews>
  <sheetFormatPr baseColWidth="10" defaultColWidth="8.88671875" defaultRowHeight="14.4" x14ac:dyDescent="0.3"/>
  <cols>
    <col min="1" max="1" width="82.33203125" bestFit="1" customWidth="1"/>
    <col min="2" max="2" width="30" customWidth="1"/>
    <col min="5" max="5" width="16.77734375" bestFit="1" customWidth="1"/>
  </cols>
  <sheetData>
    <row r="1" spans="1:5" ht="17.399999999999999" x14ac:dyDescent="0.3">
      <c r="A1" s="5" t="s">
        <v>56</v>
      </c>
    </row>
    <row r="3" spans="1:5" x14ac:dyDescent="0.3">
      <c r="A3" s="6" t="s">
        <v>57</v>
      </c>
      <c r="B3" s="6" t="s">
        <v>58</v>
      </c>
    </row>
    <row r="4" spans="1:5" x14ac:dyDescent="0.3">
      <c r="A4" s="4" t="s">
        <v>59</v>
      </c>
      <c r="B4" s="12" t="str">
        <f>_xlfn.XLOOKUP(MAX(Productos!H2:H16),Productos!H2:H16,Productos!A2:A16)</f>
        <v>Café pequeño</v>
      </c>
      <c r="E4" s="13"/>
    </row>
    <row r="5" spans="1:5" x14ac:dyDescent="0.3">
      <c r="A5" s="4" t="s">
        <v>60</v>
      </c>
      <c r="B5" s="12" t="str">
        <f>_xlfn.XLOOKUP(MAX(Productos!M2:M16),Productos!M2:M16,Productos!A2:A16)</f>
        <v>Combustible Regular (galón)</v>
      </c>
      <c r="E5" s="13"/>
    </row>
    <row r="6" spans="1:5" x14ac:dyDescent="0.3">
      <c r="A6" s="4" t="s">
        <v>61</v>
      </c>
      <c r="B6" s="12" t="str">
        <f>_xlfn.XLOOKUP(MIN(Productos!M2:M16),Productos!M2:M16,Productos!A2:A16)</f>
        <v>Hielo bolsa</v>
      </c>
      <c r="E6" s="13"/>
    </row>
    <row r="7" spans="1:5" x14ac:dyDescent="0.3">
      <c r="A7" s="4" t="s">
        <v>62</v>
      </c>
      <c r="B7" s="12" t="str">
        <f>_xlfn.XLOOKUP(MAX(Resumen_Categoría!B2:B8),Resumen_Categoría!B2:B8,Resumen_Categoría!A2:A8)</f>
        <v>Bebidas</v>
      </c>
      <c r="E7" s="13"/>
    </row>
    <row r="8" spans="1:5" x14ac:dyDescent="0.3">
      <c r="A8" s="4" t="s">
        <v>63</v>
      </c>
      <c r="B8" s="12" t="s">
        <v>65</v>
      </c>
      <c r="E8" s="13"/>
    </row>
    <row r="9" spans="1:5" x14ac:dyDescent="0.3">
      <c r="E9" s="13"/>
    </row>
    <row r="10" spans="1:5" x14ac:dyDescent="0.3">
      <c r="A10" s="7" t="s">
        <v>64</v>
      </c>
      <c r="E10" s="13"/>
    </row>
    <row r="11" spans="1:5" x14ac:dyDescent="0.3">
      <c r="E11" s="13"/>
    </row>
    <row r="13" spans="1:5" x14ac:dyDescent="0.3">
      <c r="A13" t="s">
        <v>70</v>
      </c>
    </row>
    <row r="15" spans="1:5" x14ac:dyDescent="0.3">
      <c r="A15" t="s">
        <v>71</v>
      </c>
    </row>
    <row r="16" spans="1:5" x14ac:dyDescent="0.3">
      <c r="A16"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Instrucciones</vt:lpstr>
      <vt:lpstr>Hoja1</vt:lpstr>
      <vt:lpstr>Resumen_Categoría</vt:lpstr>
      <vt:lpstr>Productos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Sevilla Mejía</cp:lastModifiedBy>
  <dcterms:created xsi:type="dcterms:W3CDTF">2026-07-10T04:32:53Z</dcterms:created>
  <dcterms:modified xsi:type="dcterms:W3CDTF">2026-07-12T18:08:38Z</dcterms:modified>
</cp:coreProperties>
</file>